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 1 Te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<sst xmlns="http://schemas.openxmlformats.org/spreadsheetml/2006/main" count="117" uniqueCount="116">
  <si>
    <t xml:space="preserve">AstroGame 2.0 — Phase 1 Prototype Test Checklist</t>
  </si>
  <si>
    <t xml:space="preserve">Unity 6.3 LTS (6000.3.27f1) · URP · Scene: Assets/_Project/Scenes/SpaceStation.unity</t>
  </si>
  <si>
    <t xml:space="preserve">Fill in the yellow cells: choose Pass or Fail in Result, and add notes. Run each test in Play mode unless stated otherwise.</t>
  </si>
  <si>
    <t xml:space="preserve">#</t>
  </si>
  <si>
    <t xml:space="preserve">Test</t>
  </si>
  <si>
    <t xml:space="preserve">How to test</t>
  </si>
  <si>
    <t xml:space="preserve">Expected result</t>
  </si>
  <si>
    <t xml:space="preserve">If it fails</t>
  </si>
  <si>
    <t xml:space="preserve">Result</t>
  </si>
  <si>
    <t xml:space="preserve">Notes</t>
  </si>
  <si>
    <t xml:space="preserve">Scene and spawn</t>
  </si>
  <si>
    <t xml:space="preserve">Scene loads without errors</t>
  </si>
  <si>
    <t xml:space="preserve">Open the SpaceStation scene, click Clear in the Console, press Play.</t>
  </si>
  <si>
    <t xml:space="preserve">0 red errors in the Console.</t>
  </si>
  <si>
    <t xml:space="preserve">Read the first red error; send a screenshot of it.</t>
  </si>
  <si>
    <t xml:space="preserve">Player spawns at the correct location</t>
  </si>
  <si>
    <t xml:space="preserve">Watch the first frame after pressing Play.</t>
  </si>
  <si>
    <t xml:space="preserve">You are in the docking area, facing the corridor, standing on the floor.</t>
  </si>
  <si>
    <t xml:space="preserve">Player &gt; First Person Controller &gt; Spawn Point must be PlayerSpawn.</t>
  </si>
  <si>
    <t xml:space="preserve">Second Play run also works</t>
  </si>
  <si>
    <t xml:space="preserve">Stop Play, then press Play again and repeat a few tests.</t>
  </si>
  <si>
    <t xml:space="preserve">Everything behaves the same as the first run.</t>
  </si>
  <si>
    <t xml:space="preserve">Note which test differs and send a screenshot.</t>
  </si>
  <si>
    <t xml:space="preserve">Movement and camera</t>
  </si>
  <si>
    <t xml:space="preserve">Walk with W A S D</t>
  </si>
  <si>
    <t xml:space="preserve">Press each key.</t>
  </si>
  <si>
    <t xml:space="preserve">Forward, left, back and right movement at walking speed.</t>
  </si>
  <si>
    <t xml:space="preserve">Move Action must be Player/Move; Active Input Handling must be Input System Package (New).</t>
  </si>
  <si>
    <t xml:space="preserve">Sprint</t>
  </si>
  <si>
    <t xml:space="preserve">Hold Left Shift + W.</t>
  </si>
  <si>
    <t xml:space="preserve">Noticeably faster movement.</t>
  </si>
  <si>
    <t xml:space="preserve">Sprint Action must be Player/Sprint.</t>
  </si>
  <si>
    <t xml:space="preserve">Mouse look</t>
  </si>
  <si>
    <t xml:space="preserve">Move the mouse in all directions.</t>
  </si>
  <si>
    <t xml:space="preserve">View turns smoothly; looking up/down stops before flipping over.</t>
  </si>
  <si>
    <t xml:space="preserve">Look Action must be Player/Look; Camera Pivot must be Main Camera.</t>
  </si>
  <si>
    <t xml:space="preserve">Gravity</t>
  </si>
  <si>
    <t xml:space="preserve">Walk around all three rooms.</t>
  </si>
  <si>
    <t xml:space="preserve">You stay on the floor; no floating, sinking or falling through.</t>
  </si>
  <si>
    <t xml:space="preserve">Character Controller: Center Y 0.9, Height 1.8; Player Position Y 0.</t>
  </si>
  <si>
    <t xml:space="preserve">Cursor lock</t>
  </si>
  <si>
    <t xml:space="preserve">Click the Game view at the start of Play.</t>
  </si>
  <si>
    <t xml:space="preserve">Cursor is hidden and locked while walking.</t>
  </si>
  <si>
    <t xml:space="preserve">Lock Cursor On Start must be ticked on the First Person Controller.</t>
  </si>
  <si>
    <t xml:space="preserve">Collision</t>
  </si>
  <si>
    <t xml:space="preserve">Walls are solid</t>
  </si>
  <si>
    <t xml:space="preserve">Walk into walls in every room.</t>
  </si>
  <si>
    <t xml:space="preserve">You stop at every wall.</t>
  </si>
  <si>
    <t xml:space="preserve">The wall is missing its Box Collider; tell me which one.</t>
  </si>
  <si>
    <t xml:space="preserve">Objects are solid</t>
  </si>
  <si>
    <t xml:space="preserve">Walk into the crates, the console desk, the workstations and the window.</t>
  </si>
  <si>
    <t xml:space="preserve">You cannot pass through any of them.</t>
  </si>
  <si>
    <t xml:space="preserve">The object is missing its Box Collider; tell me which one.</t>
  </si>
  <si>
    <t xml:space="preserve">Interaction</t>
  </si>
  <si>
    <t xml:space="preserve">Console is detected</t>
  </si>
  <si>
    <t xml:space="preserve">Stand within about 2 m and aim the dot at the console screen.</t>
  </si>
  <si>
    <t xml:space="preserve">Prompt appears: [E]  Access Mission Console.</t>
  </si>
  <si>
    <t xml:space="preserve">MissionConsole must have the Mission Console script; Player Interactor's Interact Action must be Player/Interact.</t>
  </si>
  <si>
    <t xml:space="preserve">Prompt hides when looking away</t>
  </si>
  <si>
    <t xml:space="preserve">Look at a wall, the floor or the window.</t>
  </si>
  <si>
    <t xml:space="preserve">Prompt disappears.</t>
  </si>
  <si>
    <t xml:space="preserve">HUD &gt; Interaction Prompt UI: Prompt Root must be InteractionPrompt.</t>
  </si>
  <si>
    <t xml:space="preserve">Prompt hides when out of reach</t>
  </si>
  <si>
    <t xml:space="preserve">Step back about 4 m while aiming at the screen.</t>
  </si>
  <si>
    <t xml:space="preserve">Player Interactor &gt; Interact Range should be 2.5.</t>
  </si>
  <si>
    <t xml:space="preserve">No prompt in other rooms</t>
  </si>
  <si>
    <t xml:space="preserve">Walk through the docking area and corridor.</t>
  </si>
  <si>
    <t xml:space="preserve">Prompt never appears there.</t>
  </si>
  <si>
    <t xml:space="preserve">Send a screenshot of where it appears.</t>
  </si>
  <si>
    <t xml:space="preserve">Mission briefing</t>
  </si>
  <si>
    <t xml:space="preserve">E opens the briefing</t>
  </si>
  <si>
    <t xml:space="preserve">Aim at the screen and press E.</t>
  </si>
  <si>
    <t xml:space="preserve">Briefing opens with branding, M01 // Operation First Light, Kepler-7b, description, objectives and resources.</t>
  </si>
  <si>
    <t xml:space="preserve">MissionConsole &gt; On Activated must call MissionBriefing &gt; MissionBriefingUI.Open.</t>
  </si>
  <si>
    <t xml:space="preserve">Player is paused while open</t>
  </si>
  <si>
    <t xml:space="preserve">Press W A S D and move the mouse.</t>
  </si>
  <si>
    <t xml:space="preserve">No movement or turning; cursor is visible.</t>
  </si>
  <si>
    <t xml:space="preserve">MissionBriefing &gt; Player Controller must be Player.</t>
  </si>
  <si>
    <t xml:space="preserve">No repeated activation</t>
  </si>
  <si>
    <t xml:space="preserve">Press E again while the briefing is open.</t>
  </si>
  <si>
    <t xml:space="preserve">Nothing happens; it does not reopen or flicker.</t>
  </si>
  <si>
    <t xml:space="preserve">Send a screenshot of the Console.</t>
  </si>
  <si>
    <t xml:space="preserve">Close button</t>
  </si>
  <si>
    <t xml:space="preserve">Click CLOSE.</t>
  </si>
  <si>
    <t xml:space="preserve">Briefing closes; cursor locks; you can move again.</t>
  </si>
  <si>
    <t xml:space="preserve">Check the Close Button field on MissionBriefing.</t>
  </si>
  <si>
    <t xml:space="preserve">Esc closes the briefing</t>
  </si>
  <si>
    <t xml:space="preserve">Open it again, press Esc, then click the Game view once.</t>
  </si>
  <si>
    <t xml:space="preserve">Briefing closes; control returns after the click (Editor-only behaviour).</t>
  </si>
  <si>
    <t xml:space="preserve">Cancel Action on MissionBriefing must be UI/Cancel.</t>
  </si>
  <si>
    <t xml:space="preserve">Console reusable after closing</t>
  </si>
  <si>
    <t xml:space="preserve">After closing, aim at the screen and press E again.</t>
  </si>
  <si>
    <t xml:space="preserve">Prompt reappears and the briefing opens again.</t>
  </si>
  <si>
    <t xml:space="preserve">MissionBriefing &gt; On Closed must call MissionConsole &gt; MissionConsole.Release.</t>
  </si>
  <si>
    <t xml:space="preserve">Start Mission</t>
  </si>
  <si>
    <t xml:space="preserve">Click START MISSION.</t>
  </si>
  <si>
    <t xml:space="preserve">View changes to MISSION ACCEPTED with a short message.</t>
  </si>
  <si>
    <t xml:space="preserve">Check the Start Mission Button and Confirmation View fields.</t>
  </si>
  <si>
    <t xml:space="preserve">Acknowledge</t>
  </si>
  <si>
    <t xml:space="preserve">Click ACKNOWLEDGE.</t>
  </si>
  <si>
    <t xml:space="preserve">Briefing closes; you can move again.</t>
  </si>
  <si>
    <t xml:space="preserve">Check the Acknowledge Button field.</t>
  </si>
  <si>
    <t xml:space="preserve">Accepted state remembered</t>
  </si>
  <si>
    <t xml:space="preserve">Open the briefing once more.</t>
  </si>
  <si>
    <t xml:space="preserve">Start button reads MISSION ACCEPTED and cannot be clicked.</t>
  </si>
  <si>
    <t xml:space="preserve">Send a screenshot.</t>
  </si>
  <si>
    <t xml:space="preserve">Stability</t>
  </si>
  <si>
    <t xml:space="preserve">No recurring errors</t>
  </si>
  <si>
    <t xml:space="preserve">Play for about 2 minutes using everything above, then check the Console.</t>
  </si>
  <si>
    <t xml:space="preserve">No red errors (Unity account messages such as Token Exchange can be ignored).</t>
  </si>
  <si>
    <t xml:space="preserve">Send a screenshot of the first error.</t>
  </si>
  <si>
    <t xml:space="preserve">Total tests</t>
  </si>
  <si>
    <t xml:space="preserve">Passed</t>
  </si>
  <si>
    <t xml:space="preserve">Failed</t>
  </si>
  <si>
    <t xml:space="preserve">Not yet tested</t>
  </si>
  <si>
    <t xml:space="preserve">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</si>
</sst>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DCE6EC"/>
        <bgColor rgb="FFC6EFC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44"/>
    <col collapsed="false" customWidth="true" hidden="false" outlineLevel="0" max="5" min="5" style="0" width="46"/>
    <col collapsed="false" customWidth="true" hidden="false" outlineLevel="0" max="6" min="6" style="0" width="11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customFormat="false" ht="15" hidden="false" customHeight="false" outlineLevel="0" collapsed="false">
      <c r="A6" s="4" t="s">
        <v>10</v>
      </c>
      <c r="B6" s="5"/>
      <c r="C6" s="5"/>
      <c r="D6" s="5"/>
      <c r="E6" s="5"/>
      <c r="F6" s="5"/>
      <c r="G6" s="5"/>
    </row>
    <row r="7" customFormat="false" ht="26.85" hidden="false" customHeight="false" outlineLevel="0" collapsed="false">
      <c r="A7" s="6" t="n">
        <v>1</v>
      </c>
      <c r="B7" s="6" t="s">
        <v>11</v>
      </c>
      <c r="C7" s="6" t="s">
        <v>12</v>
      </c>
      <c r="D7" s="6" t="s">
        <v>13</v>
      </c>
      <c r="E7" s="6" t="s">
        <v>14</v>
      </c>
      <c r="F7" s="7"/>
      <c r="G7" s="7"/>
    </row>
    <row r="8" customFormat="false" ht="26.85" hidden="false" customHeight="false" outlineLevel="0" collapsed="false">
      <c r="A8" s="6" t="n">
        <v>2</v>
      </c>
      <c r="B8" s="6" t="s">
        <v>15</v>
      </c>
      <c r="C8" s="6" t="s">
        <v>16</v>
      </c>
      <c r="D8" s="6" t="s">
        <v>17</v>
      </c>
      <c r="E8" s="6" t="s">
        <v>18</v>
      </c>
      <c r="F8" s="7"/>
      <c r="G8" s="7"/>
    </row>
    <row r="9" customFormat="false" ht="26.85" hidden="false" customHeight="false" outlineLevel="0" collapsed="false">
      <c r="A9" s="6" t="n">
        <v>3</v>
      </c>
      <c r="B9" s="6" t="s">
        <v>19</v>
      </c>
      <c r="C9" s="6" t="s">
        <v>20</v>
      </c>
      <c r="D9" s="6" t="s">
        <v>21</v>
      </c>
      <c r="E9" s="6" t="s">
        <v>22</v>
      </c>
      <c r="F9" s="7"/>
      <c r="G9" s="7"/>
    </row>
    <row r="10" customFormat="false" ht="15" hidden="false" customHeight="false" outlineLevel="0" collapsed="false">
      <c r="A10" s="4" t="s">
        <v>23</v>
      </c>
      <c r="B10" s="5"/>
      <c r="C10" s="5"/>
      <c r="D10" s="5"/>
      <c r="E10" s="5"/>
      <c r="F10" s="5"/>
      <c r="G10" s="5"/>
    </row>
    <row r="11" customFormat="false" ht="26.85" hidden="false" customHeight="false" outlineLevel="0" collapsed="false">
      <c r="A11" s="6" t="n">
        <v>4</v>
      </c>
      <c r="B11" s="6" t="s">
        <v>24</v>
      </c>
      <c r="C11" s="6" t="s">
        <v>25</v>
      </c>
      <c r="D11" s="6" t="s">
        <v>26</v>
      </c>
      <c r="E11" s="6" t="s">
        <v>27</v>
      </c>
      <c r="F11" s="7"/>
      <c r="G11" s="7"/>
    </row>
    <row r="12" customFormat="false" ht="15" hidden="false" customHeight="false" outlineLevel="0" collapsed="false">
      <c r="A12" s="6" t="n">
        <v>5</v>
      </c>
      <c r="B12" s="6" t="s">
        <v>28</v>
      </c>
      <c r="C12" s="6" t="s">
        <v>29</v>
      </c>
      <c r="D12" s="6" t="s">
        <v>30</v>
      </c>
      <c r="E12" s="6" t="s">
        <v>31</v>
      </c>
      <c r="F12" s="7"/>
      <c r="G12" s="7"/>
    </row>
    <row r="13" customFormat="false" ht="26.85" hidden="false" customHeight="false" outlineLevel="0" collapsed="false">
      <c r="A13" s="6" t="n">
        <v>6</v>
      </c>
      <c r="B13" s="6" t="s">
        <v>32</v>
      </c>
      <c r="C13" s="6" t="s">
        <v>33</v>
      </c>
      <c r="D13" s="6" t="s">
        <v>34</v>
      </c>
      <c r="E13" s="6" t="s">
        <v>35</v>
      </c>
      <c r="F13" s="7"/>
      <c r="G13" s="7"/>
    </row>
    <row r="14" customFormat="false" ht="26.85" hidden="false" customHeight="false" outlineLevel="0" collapsed="false">
      <c r="A14" s="6" t="n">
        <v>7</v>
      </c>
      <c r="B14" s="6" t="s">
        <v>36</v>
      </c>
      <c r="C14" s="6" t="s">
        <v>37</v>
      </c>
      <c r="D14" s="6" t="s">
        <v>38</v>
      </c>
      <c r="E14" s="6" t="s">
        <v>39</v>
      </c>
      <c r="F14" s="7"/>
      <c r="G14" s="7"/>
    </row>
    <row r="15" customFormat="false" ht="26.85" hidden="false" customHeight="false" outlineLevel="0" collapsed="false">
      <c r="A15" s="6" t="n">
        <v>8</v>
      </c>
      <c r="B15" s="6" t="s">
        <v>40</v>
      </c>
      <c r="C15" s="6" t="s">
        <v>41</v>
      </c>
      <c r="D15" s="6" t="s">
        <v>42</v>
      </c>
      <c r="E15" s="6" t="s">
        <v>43</v>
      </c>
      <c r="F15" s="7"/>
      <c r="G15" s="7"/>
    </row>
    <row r="16" customFormat="false" ht="15" hidden="false" customHeight="false" outlineLevel="0" collapsed="false">
      <c r="A16" s="4" t="s">
        <v>44</v>
      </c>
      <c r="B16" s="5"/>
      <c r="C16" s="5"/>
      <c r="D16" s="5"/>
      <c r="E16" s="5"/>
      <c r="F16" s="5"/>
      <c r="G16" s="5"/>
    </row>
    <row r="17" customFormat="false" ht="26.85" hidden="false" customHeight="false" outlineLevel="0" collapsed="false">
      <c r="A17" s="6" t="n">
        <v>9</v>
      </c>
      <c r="B17" s="6" t="s">
        <v>45</v>
      </c>
      <c r="C17" s="6" t="s">
        <v>46</v>
      </c>
      <c r="D17" s="6" t="s">
        <v>47</v>
      </c>
      <c r="E17" s="6" t="s">
        <v>48</v>
      </c>
      <c r="F17" s="7"/>
      <c r="G17" s="7"/>
    </row>
    <row r="18" customFormat="false" ht="26.85" hidden="false" customHeight="false" outlineLevel="0" collapsed="false">
      <c r="A18" s="6" t="n">
        <v>10</v>
      </c>
      <c r="B18" s="6" t="s">
        <v>49</v>
      </c>
      <c r="C18" s="6" t="s">
        <v>50</v>
      </c>
      <c r="D18" s="6" t="s">
        <v>51</v>
      </c>
      <c r="E18" s="6" t="s">
        <v>52</v>
      </c>
      <c r="F18" s="7"/>
      <c r="G18" s="7"/>
    </row>
    <row r="19" customFormat="false" ht="15" hidden="false" customHeight="false" outlineLevel="0" collapsed="false">
      <c r="A19" s="4" t="s">
        <v>53</v>
      </c>
      <c r="B19" s="5"/>
      <c r="C19" s="5"/>
      <c r="D19" s="5"/>
      <c r="E19" s="5"/>
      <c r="F19" s="5"/>
      <c r="G19" s="5"/>
    </row>
    <row r="20" customFormat="false" ht="39.55" hidden="false" customHeight="false" outlineLevel="0" collapsed="false">
      <c r="A20" s="6" t="n">
        <v>11</v>
      </c>
      <c r="B20" s="6" t="s">
        <v>54</v>
      </c>
      <c r="C20" s="6" t="s">
        <v>55</v>
      </c>
      <c r="D20" s="6" t="s">
        <v>56</v>
      </c>
      <c r="E20" s="6" t="s">
        <v>57</v>
      </c>
      <c r="F20" s="7"/>
      <c r="G20" s="7"/>
    </row>
    <row r="21" customFormat="false" ht="26.85" hidden="false" customHeight="false" outlineLevel="0" collapsed="false">
      <c r="A21" s="6" t="n">
        <v>12</v>
      </c>
      <c r="B21" s="6" t="s">
        <v>58</v>
      </c>
      <c r="C21" s="6" t="s">
        <v>59</v>
      </c>
      <c r="D21" s="6" t="s">
        <v>60</v>
      </c>
      <c r="E21" s="6" t="s">
        <v>61</v>
      </c>
      <c r="F21" s="7"/>
      <c r="G21" s="7"/>
    </row>
    <row r="22" customFormat="false" ht="26.85" hidden="false" customHeight="false" outlineLevel="0" collapsed="false">
      <c r="A22" s="6" t="n">
        <v>13</v>
      </c>
      <c r="B22" s="6" t="s">
        <v>62</v>
      </c>
      <c r="C22" s="6" t="s">
        <v>63</v>
      </c>
      <c r="D22" s="6" t="s">
        <v>60</v>
      </c>
      <c r="E22" s="6" t="s">
        <v>64</v>
      </c>
      <c r="F22" s="7"/>
      <c r="G22" s="7"/>
    </row>
    <row r="23" customFormat="false" ht="15" hidden="false" customHeight="false" outlineLevel="0" collapsed="false">
      <c r="A23" s="6" t="n">
        <v>14</v>
      </c>
      <c r="B23" s="6" t="s">
        <v>65</v>
      </c>
      <c r="C23" s="6" t="s">
        <v>66</v>
      </c>
      <c r="D23" s="6" t="s">
        <v>67</v>
      </c>
      <c r="E23" s="6" t="s">
        <v>68</v>
      </c>
      <c r="F23" s="7"/>
      <c r="G23" s="7"/>
    </row>
    <row r="24" customFormat="false" ht="15" hidden="false" customHeight="false" outlineLevel="0" collapsed="false">
      <c r="A24" s="4" t="s">
        <v>69</v>
      </c>
      <c r="B24" s="5"/>
      <c r="C24" s="5"/>
      <c r="D24" s="5"/>
      <c r="E24" s="5"/>
      <c r="F24" s="5"/>
      <c r="G24" s="5"/>
    </row>
    <row r="25" customFormat="false" ht="39.55" hidden="false" customHeight="false" outlineLevel="0" collapsed="false">
      <c r="A25" s="6" t="n">
        <v>15</v>
      </c>
      <c r="B25" s="6" t="s">
        <v>70</v>
      </c>
      <c r="C25" s="6" t="s">
        <v>71</v>
      </c>
      <c r="D25" s="6" t="s">
        <v>72</v>
      </c>
      <c r="E25" s="6" t="s">
        <v>73</v>
      </c>
      <c r="F25" s="7"/>
      <c r="G25" s="7"/>
    </row>
    <row r="26" customFormat="false" ht="26.85" hidden="false" customHeight="false" outlineLevel="0" collapsed="false">
      <c r="A26" s="6" t="n">
        <v>16</v>
      </c>
      <c r="B26" s="6" t="s">
        <v>74</v>
      </c>
      <c r="C26" s="6" t="s">
        <v>75</v>
      </c>
      <c r="D26" s="6" t="s">
        <v>76</v>
      </c>
      <c r="E26" s="6" t="s">
        <v>77</v>
      </c>
      <c r="F26" s="7"/>
      <c r="G26" s="7"/>
    </row>
    <row r="27" customFormat="false" ht="15" hidden="false" customHeight="false" outlineLevel="0" collapsed="false">
      <c r="A27" s="6" t="n">
        <v>17</v>
      </c>
      <c r="B27" s="6" t="s">
        <v>78</v>
      </c>
      <c r="C27" s="6" t="s">
        <v>79</v>
      </c>
      <c r="D27" s="6" t="s">
        <v>80</v>
      </c>
      <c r="E27" s="6" t="s">
        <v>81</v>
      </c>
      <c r="F27" s="7"/>
      <c r="G27" s="7"/>
    </row>
    <row r="28" customFormat="false" ht="26.85" hidden="false" customHeight="false" outlineLevel="0" collapsed="false">
      <c r="A28" s="6" t="n">
        <v>18</v>
      </c>
      <c r="B28" s="6" t="s">
        <v>82</v>
      </c>
      <c r="C28" s="6" t="s">
        <v>83</v>
      </c>
      <c r="D28" s="6" t="s">
        <v>84</v>
      </c>
      <c r="E28" s="6" t="s">
        <v>85</v>
      </c>
      <c r="F28" s="7"/>
      <c r="G28" s="7"/>
    </row>
    <row r="29" customFormat="false" ht="26.85" hidden="false" customHeight="false" outlineLevel="0" collapsed="false">
      <c r="A29" s="6" t="n">
        <v>19</v>
      </c>
      <c r="B29" s="6" t="s">
        <v>86</v>
      </c>
      <c r="C29" s="6" t="s">
        <v>87</v>
      </c>
      <c r="D29" s="6" t="s">
        <v>88</v>
      </c>
      <c r="E29" s="6" t="s">
        <v>89</v>
      </c>
      <c r="F29" s="7"/>
      <c r="G29" s="7"/>
    </row>
    <row r="30" customFormat="false" ht="26.85" hidden="false" customHeight="false" outlineLevel="0" collapsed="false">
      <c r="A30" s="6" t="n">
        <v>20</v>
      </c>
      <c r="B30" s="6" t="s">
        <v>90</v>
      </c>
      <c r="C30" s="6" t="s">
        <v>91</v>
      </c>
      <c r="D30" s="6" t="s">
        <v>92</v>
      </c>
      <c r="E30" s="6" t="s">
        <v>93</v>
      </c>
      <c r="F30" s="7"/>
      <c r="G30" s="7"/>
    </row>
    <row r="31" customFormat="false" ht="26.85" hidden="false" customHeight="false" outlineLevel="0" collapsed="false">
      <c r="A31" s="6" t="n">
        <v>21</v>
      </c>
      <c r="B31" s="6" t="s">
        <v>94</v>
      </c>
      <c r="C31" s="6" t="s">
        <v>95</v>
      </c>
      <c r="D31" s="6" t="s">
        <v>96</v>
      </c>
      <c r="E31" s="6" t="s">
        <v>97</v>
      </c>
      <c r="F31" s="7"/>
      <c r="G31" s="7"/>
    </row>
    <row r="32" customFormat="false" ht="15" hidden="false" customHeight="false" outlineLevel="0" collapsed="false">
      <c r="A32" s="6" t="n">
        <v>22</v>
      </c>
      <c r="B32" s="6" t="s">
        <v>98</v>
      </c>
      <c r="C32" s="6" t="s">
        <v>99</v>
      </c>
      <c r="D32" s="6" t="s">
        <v>100</v>
      </c>
      <c r="E32" s="6" t="s">
        <v>101</v>
      </c>
      <c r="F32" s="7"/>
      <c r="G32" s="7"/>
    </row>
    <row r="33" customFormat="false" ht="26.85" hidden="false" customHeight="false" outlineLevel="0" collapsed="false">
      <c r="A33" s="6" t="n">
        <v>23</v>
      </c>
      <c r="B33" s="6" t="s">
        <v>102</v>
      </c>
      <c r="C33" s="6" t="s">
        <v>103</v>
      </c>
      <c r="D33" s="6" t="s">
        <v>104</v>
      </c>
      <c r="E33" s="6" t="s">
        <v>105</v>
      </c>
      <c r="F33" s="7"/>
      <c r="G33" s="7"/>
    </row>
    <row r="34" customFormat="false" ht="15" hidden="false" customHeight="false" outlineLevel="0" collapsed="false">
      <c r="A34" s="4" t="s">
        <v>106</v>
      </c>
      <c r="B34" s="5"/>
      <c r="C34" s="5"/>
      <c r="D34" s="5"/>
      <c r="E34" s="5"/>
      <c r="F34" s="5"/>
      <c r="G34" s="5"/>
    </row>
    <row r="35" customFormat="false" ht="26.85" hidden="false" customHeight="false" outlineLevel="0" collapsed="false">
      <c r="A35" s="6" t="n">
        <v>24</v>
      </c>
      <c r="B35" s="6" t="s">
        <v>107</v>
      </c>
      <c r="C35" s="6" t="s">
        <v>108</v>
      </c>
      <c r="D35" s="6" t="s">
        <v>109</v>
      </c>
      <c r="E35" s="6" t="s">
        <v>110</v>
      </c>
      <c r="F35" s="7"/>
      <c r="G35" s="7"/>
    </row>
    <row r="37" customFormat="false" ht="15" hidden="false" customHeight="false" outlineLevel="0" collapsed="false">
      <c r="A37" s="8" t="s">
        <v>111</v>
      </c>
      <c r="B37" s="9" t="n">
        <f aca="false">COUNT(A6:A35)</f>
        <v>24</v>
      </c>
    </row>
    <row r="38" customFormat="false" ht="15" hidden="false" customHeight="false" outlineLevel="0" collapsed="false">
      <c r="A38" s="8" t="s">
        <v>112</v>
      </c>
      <c r="B38" s="9" t="n">
        <f aca="false">COUNTIF(F6:F35,"Pass")</f>
        <v>0</v>
      </c>
    </row>
    <row r="39" customFormat="false" ht="15" hidden="false" customHeight="false" outlineLevel="0" collapsed="false">
      <c r="A39" s="8" t="s">
        <v>113</v>
      </c>
      <c r="B39" s="9" t="n">
        <f aca="false">COUNTIF(F6:F35,"Fail")</f>
        <v>0</v>
      </c>
    </row>
    <row r="40" customFormat="false" ht="15" hidden="false" customHeight="false" outlineLevel="0" collapsed="false">
      <c r="A40" s="8" t="s">
        <v>114</v>
      </c>
      <c r="B40" s="9" t="n">
        <f aca="false">B37-B38-B39</f>
        <v>24</v>
      </c>
    </row>
    <row r="41" customFormat="false" ht="15" hidden="false" customHeight="false" outlineLevel="0" collapsed="false">
      <c r="A41" s="8" t="s">
        <v>115</v>
      </c>
      <c r="B41" s="8" t="str">
        <f aca="false">IF(B39&gt;0,"Fix failures before continuing",IF(B40&gt;0,"In progress","Phase 1 tests complete"))</f>
        <v>In progress</v>
      </c>
    </row>
  </sheetData>
  <mergeCells count="2">
    <mergeCell ref="A2:G2"/>
    <mergeCell ref="A3:G3"/>
  </mergeCells>
  <conditionalFormatting sqref="F6:F35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dataValidations count="1">
    <dataValidation allowBlank="true" errorStyle="stop" operator="between" showDropDown="false" showErrorMessage="false" showInputMessage="false" sqref="F7:F9 F11:F15 F17:F18 F20:F23 F25:F33 F35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2026-10-26T10:40:02Z</dcterms:created>
  <dc:creator>openpyxl</dc:creator>
  <dc:description/>
  <dc:language>en-US</dc:language>
  <cp:lastModifiedBy/>
  <dcterms:modified xsi:type="dcterms:W3CDTF">2026-10-26T10:40:02Z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